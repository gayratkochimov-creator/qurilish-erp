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oncept\Desktop\график работалар\"/>
    </mc:Choice>
  </mc:AlternateContent>
  <xr:revisionPtr revIDLastSave="0" documentId="13_ncr:1_{9AE16DCF-6DF5-4D64-A4AD-CC2A61087BDE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рафик" sheetId="1" r:id="rId1"/>
  </sheets>
  <definedNames>
    <definedName name="_xlnm.Print_Area" localSheetId="0">график!$A$1:$Y$22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7" i="1" l="1"/>
  <c r="W8" i="1" l="1"/>
  <c r="G22" i="1" l="1"/>
  <c r="W22" i="1"/>
  <c r="G5" i="1"/>
  <c r="G6" i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4" i="1"/>
  <c r="W5" i="1"/>
  <c r="W6" i="1"/>
  <c r="W7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4" i="1"/>
</calcChain>
</file>

<file path=xl/sharedStrings.xml><?xml version="1.0" encoding="utf-8"?>
<sst xmlns="http://schemas.openxmlformats.org/spreadsheetml/2006/main" count="80" uniqueCount="46">
  <si>
    <t>№</t>
  </si>
  <si>
    <t>шт</t>
  </si>
  <si>
    <t>м3</t>
  </si>
  <si>
    <t xml:space="preserve">Бетонирование одевающей стены </t>
  </si>
  <si>
    <t>м2</t>
  </si>
  <si>
    <t>п/м</t>
  </si>
  <si>
    <t>наименование</t>
  </si>
  <si>
    <t>ед.изм</t>
  </si>
  <si>
    <t>кол-во</t>
  </si>
  <si>
    <t xml:space="preserve"> Установка  Керамргранит</t>
  </si>
  <si>
    <t>тон</t>
  </si>
  <si>
    <t>служебний дорожка тоннел</t>
  </si>
  <si>
    <t>Миржалол Эргашев</t>
  </si>
  <si>
    <t>Нурбек</t>
  </si>
  <si>
    <t>Изготовления металлический решётка и монтаж над дождеприёмний остойник</t>
  </si>
  <si>
    <t>Монтаж  Метал.  труба ( д-1000 мм, краска, сварка )</t>
  </si>
  <si>
    <t>Монтаж Ж/Б труба ( д-1200 мм, гидроизоляция, бетонирования )</t>
  </si>
  <si>
    <t>Бетонирование тратуара (Миксер)</t>
  </si>
  <si>
    <t>Установка ЛК-6 (Манипулятор)</t>
  </si>
  <si>
    <t>Укладка тощий бетон 650 п.м (Самосвал 6шт, Асфалтоукладчик, Каток, Водовоз)</t>
  </si>
  <si>
    <t>Засыпка ГПС 650 п.м (Самосвал 10шт, Грейдер, Эксковатор, Водовоз)</t>
  </si>
  <si>
    <t>Шерзод</t>
  </si>
  <si>
    <t>Асфальтирование мелкозернистий 3 слоя 650 п.м</t>
  </si>
  <si>
    <t>Асфальтирование 1-2 слоя крупнозернистий 650 п.м*</t>
  </si>
  <si>
    <t xml:space="preserve">Эраж УлХалил </t>
  </si>
  <si>
    <t xml:space="preserve">Қолдиқ иш </t>
  </si>
  <si>
    <t xml:space="preserve">маъсул шахс </t>
  </si>
  <si>
    <t xml:space="preserve">кун план </t>
  </si>
  <si>
    <t xml:space="preserve">бажарилган иш фоизи </t>
  </si>
  <si>
    <t>Засыпка ГПС ТРАТУАР, КАРМАН (Самосвал 1шт, Грейдер, Эксковатор, Водовоз)</t>
  </si>
  <si>
    <t xml:space="preserve">Укладка гранита на тратуар </t>
  </si>
  <si>
    <t xml:space="preserve">  край карманний дорого подпорний стена Гранит корабог сокол  усти кришка</t>
  </si>
  <si>
    <t xml:space="preserve">  край карманний дорого подпорний стена Гранит корабог сокол  </t>
  </si>
  <si>
    <t>Укладка бардюр гранитний 15*12*100 ТРАТУАР</t>
  </si>
  <si>
    <t xml:space="preserve">Укладка бардюр гранитний 30*18*100 янги </t>
  </si>
  <si>
    <t xml:space="preserve">иш жараёнда </t>
  </si>
  <si>
    <r>
      <t xml:space="preserve">                                    Рудакий объекти тунель                                                                                                                                      </t>
    </r>
    <r>
      <rPr>
        <b/>
        <sz val="26"/>
        <color rgb="FF000000"/>
        <rFont val="Times New Roman"/>
        <family val="1"/>
        <charset val="204"/>
      </rPr>
      <t xml:space="preserve"> 14.02.2026</t>
    </r>
  </si>
  <si>
    <t xml:space="preserve"> </t>
  </si>
  <si>
    <t xml:space="preserve">иш прагнози </t>
  </si>
  <si>
    <t xml:space="preserve">битта биригада цокилда ишлаяпти </t>
  </si>
  <si>
    <t xml:space="preserve">шағалдан кейин бўлади </t>
  </si>
  <si>
    <t xml:space="preserve"> Укладка гранита на тратуар иши тугагандан сунг бошланади </t>
  </si>
  <si>
    <t xml:space="preserve"> Тротуар стяжкаси га жой таёрланди 150 м2 ( 30 м3 битон олишга  жойим бор лекин битон завод битон бермаяпти)</t>
  </si>
  <si>
    <t>Канализацияни охирги 9 метрини очиб труба ташлашга жой таёрланди ва айланиб утиш учун йул килинди</t>
  </si>
  <si>
    <t xml:space="preserve">профил йук </t>
  </si>
  <si>
    <t xml:space="preserve"> карказ тўқилди бетон беролмаяпти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</si>
</sst>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sz val="10"/>
      <name val="Arial Cyr"/>
      <charset val="204"/>
    </font>
    <font>
      <sz val="18"/>
      <color indexed="12"/>
      <name val="Times New Roman"/>
      <family val="1"/>
      <charset val="204"/>
    </font>
    <font>
      <sz val="25"/>
      <color theme="1"/>
      <name val="Times New Roman"/>
      <family val="1"/>
    </font>
    <font>
      <sz val="25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25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48"/>
      <color indexed="8"/>
      <name val="Times New Roman"/>
      <family val="1"/>
    </font>
    <font>
      <b/>
      <sz val="28"/>
      <name val="Times New Roman"/>
      <family val="1"/>
    </font>
    <font>
      <b/>
      <sz val="28"/>
      <color theme="1"/>
      <name val="Times New Roman"/>
      <family val="1"/>
    </font>
    <font>
      <b/>
      <sz val="24"/>
      <color theme="1"/>
      <name val="Times New Roman"/>
      <family val="1"/>
      <charset val="204"/>
    </font>
    <font>
      <sz val="25"/>
      <name val="Times New Roman"/>
      <family val="1"/>
      <charset val="204"/>
    </font>
    <font>
      <sz val="28"/>
      <name val="Times New Roman"/>
      <family val="1"/>
      <charset val="204"/>
    </font>
    <font>
      <b/>
      <sz val="26"/>
      <color rgb="FF000000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  <font>
      <sz val="24"/>
      <color indexed="12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8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3" fillId="0" borderId="0" xfId="1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0" borderId="3" xfId="1" applyFont="1" applyBorder="1"/>
    <xf numFmtId="0" fontId="1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14" fontId="7" fillId="3" borderId="5" xfId="0" applyNumberFormat="1" applyFont="1" applyFill="1" applyBorder="1" applyAlignment="1">
      <alignment horizontal="center" vertical="center" textRotation="90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3" xfId="1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3" fillId="7" borderId="3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14" fillId="4" borderId="1" xfId="1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vertical="center" wrapText="1"/>
    </xf>
    <xf numFmtId="0" fontId="13" fillId="6" borderId="3" xfId="1" applyFont="1" applyFill="1" applyBorder="1" applyAlignment="1">
      <alignment horizontal="center" vertical="center"/>
    </xf>
    <xf numFmtId="0" fontId="3" fillId="5" borderId="3" xfId="1" applyFont="1" applyFill="1" applyBorder="1"/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vertical="center"/>
    </xf>
    <xf numFmtId="0" fontId="5" fillId="9" borderId="3" xfId="0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18" fillId="5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5" fillId="2" borderId="3" xfId="0" quotePrefix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2" borderId="1" xfId="0" quotePrefix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_График производства работ При 2" xfId="1" xr:uid="{00000000-0005-0000-0000-000002000000}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zoomScale="40" zoomScaleNormal="40" zoomScaleSheetLayoutView="40" workbookViewId="0">
      <selection activeCell="T6" sqref="T6:U6"/>
    </sheetView>
  </sheetViews>
  <sheetFormatPr defaultColWidth="9.140625" defaultRowHeight="23.25" x14ac:dyDescent="0.35"/>
  <cols>
    <col min="1" max="1" width="7" style="5" customWidth="1"/>
    <col min="2" max="2" width="17.85546875" style="2" customWidth="1"/>
    <col min="3" max="3" width="72.140625" style="2" customWidth="1"/>
    <col min="4" max="4" width="17.5703125" style="2" bestFit="1" customWidth="1"/>
    <col min="5" max="5" width="17.28515625" style="2" customWidth="1"/>
    <col min="6" max="6" width="21.7109375" style="2" customWidth="1"/>
    <col min="7" max="7" width="28.28515625" style="2" customWidth="1"/>
    <col min="8" max="8" width="16.5703125" style="2" customWidth="1"/>
    <col min="9" max="11" width="16.5703125" style="2" bestFit="1" customWidth="1"/>
    <col min="12" max="22" width="16.5703125" style="2" customWidth="1"/>
    <col min="23" max="23" width="29.5703125" style="2" customWidth="1"/>
    <col min="24" max="24" width="54.42578125" style="2" customWidth="1"/>
    <col min="25" max="25" width="155.28515625" style="2" customWidth="1"/>
    <col min="26" max="16384" width="9.140625" style="2"/>
  </cols>
  <sheetData>
    <row r="1" spans="1:25" s="3" customFormat="1" ht="81.599999999999994" customHeight="1" x14ac:dyDescent="0.35">
      <c r="A1" s="75" t="s">
        <v>36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spans="1:25" s="3" customFormat="1" ht="81.599999999999994" customHeight="1" x14ac:dyDescent="0.35">
      <c r="A2" s="81" t="s">
        <v>0</v>
      </c>
      <c r="B2" s="82" t="s">
        <v>6</v>
      </c>
      <c r="C2" s="82"/>
      <c r="D2" s="83" t="s">
        <v>7</v>
      </c>
      <c r="E2" s="78" t="s">
        <v>8</v>
      </c>
      <c r="F2" s="77" t="s">
        <v>27</v>
      </c>
      <c r="G2" s="78" t="s">
        <v>28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</row>
    <row r="3" spans="1:25" s="3" customFormat="1" ht="204" customHeight="1" x14ac:dyDescent="0.35">
      <c r="A3" s="81"/>
      <c r="B3" s="82"/>
      <c r="C3" s="82"/>
      <c r="D3" s="84"/>
      <c r="E3" s="79"/>
      <c r="F3" s="77"/>
      <c r="G3" s="79"/>
      <c r="H3" s="27">
        <v>46067</v>
      </c>
      <c r="I3" s="27">
        <v>46068</v>
      </c>
      <c r="J3" s="27">
        <v>46069</v>
      </c>
      <c r="K3" s="27">
        <v>46070</v>
      </c>
      <c r="L3" s="27">
        <v>46071</v>
      </c>
      <c r="M3" s="27">
        <v>46072</v>
      </c>
      <c r="N3" s="27">
        <v>46073</v>
      </c>
      <c r="O3" s="27">
        <v>46074</v>
      </c>
      <c r="P3" s="27">
        <v>46075</v>
      </c>
      <c r="Q3" s="27">
        <v>46076</v>
      </c>
      <c r="R3" s="27">
        <v>46077</v>
      </c>
      <c r="S3" s="27">
        <v>46078</v>
      </c>
      <c r="T3" s="27">
        <v>46079</v>
      </c>
      <c r="U3" s="27">
        <v>46080</v>
      </c>
      <c r="V3" s="27">
        <v>46081</v>
      </c>
      <c r="W3" s="28" t="s">
        <v>25</v>
      </c>
      <c r="X3" s="29" t="s">
        <v>26</v>
      </c>
      <c r="Y3" s="42" t="s">
        <v>38</v>
      </c>
    </row>
    <row r="4" spans="1:25" s="4" customFormat="1" ht="108.6" customHeight="1" x14ac:dyDescent="0.25">
      <c r="A4" s="6">
        <v>1</v>
      </c>
      <c r="B4" s="76" t="s">
        <v>34</v>
      </c>
      <c r="C4" s="73"/>
      <c r="D4" s="12" t="s">
        <v>5</v>
      </c>
      <c r="E4" s="12">
        <v>800</v>
      </c>
      <c r="F4" s="12">
        <v>50</v>
      </c>
      <c r="G4" s="21">
        <f>SUM(H4:V4)/E4</f>
        <v>0.22500000000000001</v>
      </c>
      <c r="H4" s="19"/>
      <c r="I4" s="19"/>
      <c r="J4" s="19"/>
      <c r="K4" s="19"/>
      <c r="L4" s="19"/>
      <c r="M4" s="52">
        <v>40</v>
      </c>
      <c r="N4" s="66" t="s">
        <v>37</v>
      </c>
      <c r="O4" s="58"/>
      <c r="P4" s="58"/>
      <c r="Q4" s="53">
        <v>50</v>
      </c>
      <c r="R4" s="59">
        <v>40</v>
      </c>
      <c r="S4" s="53">
        <v>50</v>
      </c>
      <c r="T4" s="68"/>
      <c r="U4" s="68"/>
      <c r="V4" s="19"/>
      <c r="W4" s="22">
        <f>E4-(SUM(H4:U4))</f>
        <v>620</v>
      </c>
      <c r="X4" s="23" t="s">
        <v>13</v>
      </c>
      <c r="Y4" s="43" t="s">
        <v>37</v>
      </c>
    </row>
    <row r="5" spans="1:25" s="4" customFormat="1" ht="115.9" customHeight="1" x14ac:dyDescent="0.25">
      <c r="A5" s="6">
        <v>2</v>
      </c>
      <c r="B5" s="76" t="s">
        <v>33</v>
      </c>
      <c r="C5" s="73"/>
      <c r="D5" s="12" t="s">
        <v>5</v>
      </c>
      <c r="E5" s="12">
        <v>200</v>
      </c>
      <c r="F5" s="12">
        <v>50</v>
      </c>
      <c r="G5" s="21">
        <f t="shared" ref="G5:G22" si="0">SUM(H5:V5)/E5</f>
        <v>0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9"/>
      <c r="U5" s="19"/>
      <c r="V5" s="19"/>
      <c r="W5" s="22">
        <f t="shared" ref="W5:W22" si="1">E5-(SUM(H5:U5))</f>
        <v>200</v>
      </c>
      <c r="X5" s="23" t="s">
        <v>13</v>
      </c>
      <c r="Y5" s="43" t="s">
        <v>41</v>
      </c>
    </row>
    <row r="6" spans="1:25" s="4" customFormat="1" ht="76.900000000000006" customHeight="1" x14ac:dyDescent="0.25">
      <c r="A6" s="33">
        <v>3</v>
      </c>
      <c r="B6" s="76" t="s">
        <v>30</v>
      </c>
      <c r="C6" s="73"/>
      <c r="D6" s="12" t="s">
        <v>4</v>
      </c>
      <c r="E6" s="12">
        <v>681</v>
      </c>
      <c r="F6" s="12">
        <v>50</v>
      </c>
      <c r="G6" s="21">
        <f t="shared" si="0"/>
        <v>0.47723935389133626</v>
      </c>
      <c r="H6" s="14">
        <v>30</v>
      </c>
      <c r="I6" s="16"/>
      <c r="J6" s="14">
        <v>30</v>
      </c>
      <c r="K6" s="14">
        <v>30</v>
      </c>
      <c r="L6" s="41"/>
      <c r="M6" s="50">
        <v>52</v>
      </c>
      <c r="N6" s="14">
        <v>43</v>
      </c>
      <c r="O6" s="16">
        <v>30</v>
      </c>
      <c r="P6" s="14">
        <v>35</v>
      </c>
      <c r="Q6" s="14">
        <v>30</v>
      </c>
      <c r="R6" s="14">
        <v>25</v>
      </c>
      <c r="S6" s="14">
        <v>20</v>
      </c>
      <c r="T6" s="41"/>
      <c r="U6" s="41"/>
      <c r="V6" s="41"/>
      <c r="W6" s="22">
        <f t="shared" si="1"/>
        <v>356</v>
      </c>
      <c r="X6" s="23" t="s">
        <v>13</v>
      </c>
      <c r="Y6" s="44" t="s">
        <v>35</v>
      </c>
    </row>
    <row r="7" spans="1:25" s="4" customFormat="1" ht="76.900000000000006" customHeight="1" x14ac:dyDescent="0.25">
      <c r="A7" s="35">
        <v>4</v>
      </c>
      <c r="B7" s="71" t="s">
        <v>14</v>
      </c>
      <c r="C7" s="72"/>
      <c r="D7" s="12" t="s">
        <v>1</v>
      </c>
      <c r="E7" s="13">
        <v>56</v>
      </c>
      <c r="F7" s="12">
        <v>7</v>
      </c>
      <c r="G7" s="21">
        <f t="shared" si="0"/>
        <v>1</v>
      </c>
      <c r="H7" s="60"/>
      <c r="I7" s="61"/>
      <c r="J7" s="61"/>
      <c r="K7" s="61"/>
      <c r="L7" s="53">
        <v>8</v>
      </c>
      <c r="M7" s="53">
        <v>12</v>
      </c>
      <c r="N7" s="53">
        <v>12</v>
      </c>
      <c r="O7" s="53">
        <v>12</v>
      </c>
      <c r="P7" s="53">
        <v>12</v>
      </c>
      <c r="Q7" s="19"/>
      <c r="R7" s="19"/>
      <c r="S7" s="19"/>
      <c r="T7" s="19"/>
      <c r="U7" s="19"/>
      <c r="V7" s="19"/>
      <c r="W7" s="22">
        <f t="shared" si="1"/>
        <v>0</v>
      </c>
      <c r="X7" s="23" t="s">
        <v>13</v>
      </c>
      <c r="Y7" s="43" t="s">
        <v>37</v>
      </c>
    </row>
    <row r="8" spans="1:25" s="4" customFormat="1" ht="78.599999999999994" customHeight="1" x14ac:dyDescent="0.25">
      <c r="A8" s="35">
        <v>5</v>
      </c>
      <c r="B8" s="74" t="s">
        <v>20</v>
      </c>
      <c r="C8" s="70"/>
      <c r="D8" s="12" t="s">
        <v>2</v>
      </c>
      <c r="E8" s="7">
        <v>700</v>
      </c>
      <c r="F8" s="12">
        <v>100</v>
      </c>
      <c r="G8" s="21">
        <f t="shared" si="0"/>
        <v>0.7142857142857143</v>
      </c>
      <c r="H8" s="19"/>
      <c r="I8" s="19"/>
      <c r="J8" s="19"/>
      <c r="K8" s="67">
        <v>0</v>
      </c>
      <c r="L8" s="67">
        <v>0</v>
      </c>
      <c r="M8" s="67">
        <v>0</v>
      </c>
      <c r="N8" s="51">
        <v>100</v>
      </c>
      <c r="O8" s="46"/>
      <c r="P8" s="65">
        <v>0</v>
      </c>
      <c r="Q8" s="65">
        <v>0</v>
      </c>
      <c r="R8" s="53">
        <v>100</v>
      </c>
      <c r="S8" s="53">
        <v>100</v>
      </c>
      <c r="T8" s="53">
        <v>100</v>
      </c>
      <c r="U8" s="53">
        <v>100</v>
      </c>
      <c r="V8" s="19"/>
      <c r="W8" s="22">
        <f>E8-(SUM(H8:U8))</f>
        <v>200</v>
      </c>
      <c r="X8" s="24" t="s">
        <v>12</v>
      </c>
      <c r="Y8" s="44"/>
    </row>
    <row r="9" spans="1:25" s="4" customFormat="1" ht="72.599999999999994" customHeight="1" x14ac:dyDescent="0.25">
      <c r="A9" s="35">
        <v>6</v>
      </c>
      <c r="B9" s="74" t="s">
        <v>19</v>
      </c>
      <c r="C9" s="70"/>
      <c r="D9" s="12" t="s">
        <v>2</v>
      </c>
      <c r="E9" s="7">
        <v>580</v>
      </c>
      <c r="F9" s="12">
        <v>160</v>
      </c>
      <c r="G9" s="21">
        <f t="shared" si="0"/>
        <v>0</v>
      </c>
      <c r="H9" s="19"/>
      <c r="I9" s="19"/>
      <c r="J9" s="19"/>
      <c r="K9" s="19"/>
      <c r="L9" s="19"/>
      <c r="M9" s="19"/>
      <c r="N9" s="19"/>
      <c r="O9" s="19"/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19"/>
      <c r="W9" s="22">
        <f t="shared" si="1"/>
        <v>580</v>
      </c>
      <c r="X9" s="24" t="s">
        <v>12</v>
      </c>
      <c r="Y9" s="44" t="s">
        <v>40</v>
      </c>
    </row>
    <row r="10" spans="1:25" s="4" customFormat="1" ht="73.900000000000006" customHeight="1" x14ac:dyDescent="0.25">
      <c r="A10" s="35">
        <v>7</v>
      </c>
      <c r="B10" s="73" t="s">
        <v>9</v>
      </c>
      <c r="C10" s="73"/>
      <c r="D10" s="20" t="s">
        <v>4</v>
      </c>
      <c r="E10" s="8">
        <v>1500</v>
      </c>
      <c r="F10" s="20">
        <v>80</v>
      </c>
      <c r="G10" s="21">
        <f t="shared" si="0"/>
        <v>0.39333333333333331</v>
      </c>
      <c r="H10" s="16">
        <v>60</v>
      </c>
      <c r="I10" s="16">
        <v>60</v>
      </c>
      <c r="J10" s="47">
        <v>0</v>
      </c>
      <c r="K10" s="14" t="s">
        <v>37</v>
      </c>
      <c r="L10" s="47">
        <v>0</v>
      </c>
      <c r="M10" s="16"/>
      <c r="N10" s="14">
        <v>70</v>
      </c>
      <c r="O10" s="50">
        <v>80</v>
      </c>
      <c r="P10" s="50">
        <v>80</v>
      </c>
      <c r="Q10" s="50">
        <v>80</v>
      </c>
      <c r="R10" s="50">
        <v>80</v>
      </c>
      <c r="S10" s="50">
        <v>80</v>
      </c>
      <c r="T10" s="65">
        <v>0</v>
      </c>
      <c r="U10" s="65">
        <v>0</v>
      </c>
      <c r="V10" s="40"/>
      <c r="W10" s="22">
        <f t="shared" si="1"/>
        <v>910</v>
      </c>
      <c r="X10" s="24" t="s">
        <v>12</v>
      </c>
      <c r="Y10" s="44" t="s">
        <v>44</v>
      </c>
    </row>
    <row r="11" spans="1:25" s="4" customFormat="1" ht="82.15" customHeight="1" x14ac:dyDescent="0.25">
      <c r="A11" s="35">
        <v>8</v>
      </c>
      <c r="B11" s="73" t="s">
        <v>3</v>
      </c>
      <c r="C11" s="73"/>
      <c r="D11" s="17" t="s">
        <v>4</v>
      </c>
      <c r="E11" s="8">
        <v>700</v>
      </c>
      <c r="F11" s="20">
        <v>80</v>
      </c>
      <c r="G11" s="21">
        <f t="shared" si="0"/>
        <v>1</v>
      </c>
      <c r="H11" s="50">
        <v>100</v>
      </c>
      <c r="I11" s="50">
        <v>100</v>
      </c>
      <c r="J11" s="50">
        <v>100</v>
      </c>
      <c r="K11" s="50">
        <v>100</v>
      </c>
      <c r="L11" s="50">
        <v>90</v>
      </c>
      <c r="M11" s="50">
        <v>100</v>
      </c>
      <c r="N11" s="50">
        <v>50</v>
      </c>
      <c r="O11" s="50">
        <v>20</v>
      </c>
      <c r="P11" s="50">
        <v>10</v>
      </c>
      <c r="Q11" s="50">
        <v>30</v>
      </c>
      <c r="R11" s="10"/>
      <c r="S11" s="10"/>
      <c r="T11" s="10"/>
      <c r="U11" s="10"/>
      <c r="V11" s="10"/>
      <c r="W11" s="22">
        <f t="shared" si="1"/>
        <v>0</v>
      </c>
      <c r="X11" s="24" t="s">
        <v>12</v>
      </c>
      <c r="Y11" s="44" t="s">
        <v>37</v>
      </c>
    </row>
    <row r="12" spans="1:25" s="4" customFormat="1" ht="66.599999999999994" customHeight="1" x14ac:dyDescent="0.25">
      <c r="A12" s="35">
        <v>9</v>
      </c>
      <c r="B12" s="74" t="s">
        <v>11</v>
      </c>
      <c r="C12" s="70"/>
      <c r="D12" s="12" t="s">
        <v>5</v>
      </c>
      <c r="E12" s="7">
        <v>650</v>
      </c>
      <c r="F12" s="12">
        <v>70</v>
      </c>
      <c r="G12" s="21">
        <f t="shared" si="0"/>
        <v>0.60769230769230764</v>
      </c>
      <c r="H12" s="38"/>
      <c r="I12" s="46"/>
      <c r="J12" s="48">
        <v>30</v>
      </c>
      <c r="K12" s="48">
        <v>50</v>
      </c>
      <c r="L12" s="48">
        <v>30</v>
      </c>
      <c r="M12" s="48">
        <v>30</v>
      </c>
      <c r="N12" s="48">
        <v>40</v>
      </c>
      <c r="O12" s="67">
        <v>0</v>
      </c>
      <c r="P12" s="48">
        <v>25</v>
      </c>
      <c r="Q12" s="48">
        <v>60</v>
      </c>
      <c r="R12" s="48">
        <v>40</v>
      </c>
      <c r="S12" s="65">
        <v>0</v>
      </c>
      <c r="T12" s="59">
        <v>50</v>
      </c>
      <c r="U12" s="59">
        <v>40</v>
      </c>
      <c r="V12" s="36"/>
      <c r="W12" s="22">
        <f t="shared" si="1"/>
        <v>255</v>
      </c>
      <c r="X12" s="24" t="s">
        <v>12</v>
      </c>
      <c r="Y12" s="44" t="s">
        <v>45</v>
      </c>
    </row>
    <row r="13" spans="1:25" s="4" customFormat="1" ht="73.150000000000006" customHeight="1" x14ac:dyDescent="0.25">
      <c r="A13" s="35">
        <v>10</v>
      </c>
      <c r="B13" s="73" t="s">
        <v>23</v>
      </c>
      <c r="C13" s="73"/>
      <c r="D13" s="20" t="s">
        <v>10</v>
      </c>
      <c r="E13" s="8">
        <v>8122</v>
      </c>
      <c r="F13" s="20">
        <v>600</v>
      </c>
      <c r="G13" s="21">
        <f t="shared" si="0"/>
        <v>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22">
        <f t="shared" si="1"/>
        <v>8122</v>
      </c>
      <c r="X13" s="24" t="s">
        <v>12</v>
      </c>
      <c r="Y13" s="44"/>
    </row>
    <row r="14" spans="1:25" s="4" customFormat="1" ht="68.45" customHeight="1" x14ac:dyDescent="0.25">
      <c r="A14" s="35">
        <v>11</v>
      </c>
      <c r="B14" s="73" t="s">
        <v>22</v>
      </c>
      <c r="C14" s="73"/>
      <c r="D14" s="20" t="s">
        <v>10</v>
      </c>
      <c r="E14" s="7">
        <v>2516</v>
      </c>
      <c r="F14" s="12">
        <v>629</v>
      </c>
      <c r="G14" s="21">
        <f t="shared" si="0"/>
        <v>0</v>
      </c>
      <c r="H14" s="6"/>
      <c r="I14" s="6"/>
      <c r="J14" s="6"/>
      <c r="K14" s="6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22">
        <f t="shared" si="1"/>
        <v>2516</v>
      </c>
      <c r="X14" s="24" t="s">
        <v>12</v>
      </c>
      <c r="Y14" s="44"/>
    </row>
    <row r="15" spans="1:25" s="4" customFormat="1" ht="72" customHeight="1" x14ac:dyDescent="0.25">
      <c r="A15" s="35">
        <v>12</v>
      </c>
      <c r="B15" s="74" t="s">
        <v>31</v>
      </c>
      <c r="C15" s="70"/>
      <c r="D15" s="12" t="s">
        <v>5</v>
      </c>
      <c r="E15" s="7">
        <v>910</v>
      </c>
      <c r="F15" s="12">
        <v>20</v>
      </c>
      <c r="G15" s="21">
        <f t="shared" si="0"/>
        <v>0.24505494505494504</v>
      </c>
      <c r="H15" s="47">
        <v>0</v>
      </c>
      <c r="I15" s="47">
        <v>0</v>
      </c>
      <c r="J15" s="15">
        <v>11</v>
      </c>
      <c r="K15" s="14">
        <v>13</v>
      </c>
      <c r="L15" s="34"/>
      <c r="M15" s="54">
        <v>33</v>
      </c>
      <c r="N15" s="50">
        <v>38</v>
      </c>
      <c r="O15" s="50">
        <v>41</v>
      </c>
      <c r="P15" s="50">
        <v>27</v>
      </c>
      <c r="Q15" s="50">
        <v>42</v>
      </c>
      <c r="R15" s="34"/>
      <c r="S15" s="14">
        <v>18</v>
      </c>
      <c r="T15" s="34"/>
      <c r="U15" s="34"/>
      <c r="V15" s="34"/>
      <c r="W15" s="22">
        <f t="shared" si="1"/>
        <v>687</v>
      </c>
      <c r="X15" s="25" t="s">
        <v>21</v>
      </c>
      <c r="Y15" s="45" t="s">
        <v>37</v>
      </c>
    </row>
    <row r="16" spans="1:25" s="26" customFormat="1" ht="83.45" customHeight="1" x14ac:dyDescent="0.25">
      <c r="A16" s="35">
        <v>13</v>
      </c>
      <c r="B16" s="74" t="s">
        <v>32</v>
      </c>
      <c r="C16" s="70"/>
      <c r="D16" s="12" t="s">
        <v>5</v>
      </c>
      <c r="E16" s="32">
        <v>350</v>
      </c>
      <c r="F16" s="12">
        <v>40</v>
      </c>
      <c r="G16" s="21">
        <f t="shared" si="0"/>
        <v>0.56571428571428573</v>
      </c>
      <c r="H16" s="14">
        <v>23</v>
      </c>
      <c r="I16" s="14">
        <v>21</v>
      </c>
      <c r="J16" s="15">
        <v>20</v>
      </c>
      <c r="K16" s="14">
        <v>18</v>
      </c>
      <c r="L16" s="34"/>
      <c r="M16" s="15">
        <v>29</v>
      </c>
      <c r="N16" s="14">
        <v>17</v>
      </c>
      <c r="O16" s="14">
        <v>11</v>
      </c>
      <c r="P16" s="14">
        <v>11</v>
      </c>
      <c r="Q16" s="14">
        <v>17</v>
      </c>
      <c r="R16" s="8"/>
      <c r="S16" s="14">
        <v>31</v>
      </c>
      <c r="T16" s="8"/>
      <c r="U16" s="8"/>
      <c r="V16" s="8"/>
      <c r="W16" s="22">
        <f t="shared" si="1"/>
        <v>152</v>
      </c>
      <c r="X16" s="25" t="s">
        <v>21</v>
      </c>
      <c r="Y16" s="45" t="s">
        <v>39</v>
      </c>
    </row>
    <row r="17" spans="1:25" s="4" customFormat="1" ht="90" customHeight="1" x14ac:dyDescent="0.35">
      <c r="A17" s="35">
        <v>14</v>
      </c>
      <c r="B17" s="71" t="s">
        <v>16</v>
      </c>
      <c r="C17" s="72"/>
      <c r="D17" s="12" t="s">
        <v>5</v>
      </c>
      <c r="E17" s="12">
        <v>57</v>
      </c>
      <c r="F17" s="12">
        <v>15</v>
      </c>
      <c r="G17" s="21">
        <f>SUM(H17:V17)/E17</f>
        <v>0.42105263157894735</v>
      </c>
      <c r="H17" s="31"/>
      <c r="I17" s="31"/>
      <c r="J17" s="49"/>
      <c r="K17" s="49"/>
      <c r="L17" s="49">
        <v>10</v>
      </c>
      <c r="M17" s="56">
        <v>0</v>
      </c>
      <c r="N17" s="57"/>
      <c r="O17" s="65">
        <v>0</v>
      </c>
      <c r="P17" s="57"/>
      <c r="Q17" s="62">
        <v>6</v>
      </c>
      <c r="R17" s="18"/>
      <c r="S17" s="62">
        <v>8</v>
      </c>
      <c r="T17" s="57"/>
      <c r="U17" s="57"/>
      <c r="V17" s="18"/>
      <c r="W17" s="22">
        <f t="shared" si="1"/>
        <v>33</v>
      </c>
      <c r="X17" s="22" t="s">
        <v>24</v>
      </c>
      <c r="Y17" s="55" t="s">
        <v>43</v>
      </c>
    </row>
    <row r="18" spans="1:25" s="4" customFormat="1" ht="76.150000000000006" customHeight="1" x14ac:dyDescent="0.35">
      <c r="A18" s="35">
        <v>15</v>
      </c>
      <c r="B18" s="71" t="s">
        <v>15</v>
      </c>
      <c r="C18" s="72"/>
      <c r="D18" s="12" t="s">
        <v>5</v>
      </c>
      <c r="E18" s="12">
        <v>57</v>
      </c>
      <c r="F18" s="12">
        <v>15</v>
      </c>
      <c r="G18" s="21">
        <f t="shared" si="0"/>
        <v>0.78947368421052633</v>
      </c>
      <c r="H18" s="30"/>
      <c r="I18" s="30"/>
      <c r="J18" s="30"/>
      <c r="K18" s="39"/>
      <c r="L18" s="49">
        <v>11</v>
      </c>
      <c r="M18" s="49">
        <v>11</v>
      </c>
      <c r="N18" s="49">
        <v>11</v>
      </c>
      <c r="O18" s="65">
        <v>0</v>
      </c>
      <c r="P18" s="57"/>
      <c r="Q18" s="63">
        <v>6</v>
      </c>
      <c r="R18" s="63">
        <v>6</v>
      </c>
      <c r="S18" s="64">
        <v>0</v>
      </c>
      <c r="T18" s="64">
        <v>0</v>
      </c>
      <c r="U18" s="57"/>
      <c r="V18" s="18"/>
      <c r="W18" s="22">
        <f t="shared" si="1"/>
        <v>12</v>
      </c>
      <c r="X18" s="22" t="s">
        <v>24</v>
      </c>
      <c r="Y18" s="45"/>
    </row>
    <row r="19" spans="1:25" s="4" customFormat="1" ht="101.45" customHeight="1" x14ac:dyDescent="0.25">
      <c r="A19" s="35">
        <v>16</v>
      </c>
      <c r="B19" s="69" t="s">
        <v>29</v>
      </c>
      <c r="C19" s="70"/>
      <c r="D19" s="12" t="s">
        <v>2</v>
      </c>
      <c r="E19" s="12">
        <v>160</v>
      </c>
      <c r="F19" s="12">
        <v>80</v>
      </c>
      <c r="G19" s="21">
        <f t="shared" si="0"/>
        <v>0.57499999999999996</v>
      </c>
      <c r="H19" s="19"/>
      <c r="I19" s="19"/>
      <c r="J19" s="46"/>
      <c r="K19" s="67">
        <v>0</v>
      </c>
      <c r="L19" s="67">
        <v>0</v>
      </c>
      <c r="M19" s="59">
        <v>30</v>
      </c>
      <c r="N19" s="59">
        <v>45</v>
      </c>
      <c r="O19" s="65">
        <v>0</v>
      </c>
      <c r="P19" s="65">
        <v>0</v>
      </c>
      <c r="Q19" s="52" t="s">
        <v>37</v>
      </c>
      <c r="R19" s="65">
        <v>0</v>
      </c>
      <c r="S19" s="65">
        <v>0</v>
      </c>
      <c r="T19" s="59">
        <v>12</v>
      </c>
      <c r="U19" s="59">
        <v>5</v>
      </c>
      <c r="V19" s="19"/>
      <c r="W19" s="22">
        <f t="shared" si="1"/>
        <v>68</v>
      </c>
      <c r="X19" s="22" t="s">
        <v>24</v>
      </c>
      <c r="Y19" s="43"/>
    </row>
    <row r="20" spans="1:25" s="4" customFormat="1" ht="72.75" customHeight="1" x14ac:dyDescent="0.25">
      <c r="A20" s="35">
        <v>17</v>
      </c>
      <c r="B20" s="74" t="s">
        <v>18</v>
      </c>
      <c r="C20" s="70"/>
      <c r="D20" s="12" t="s">
        <v>1</v>
      </c>
      <c r="E20" s="12">
        <v>14</v>
      </c>
      <c r="F20" s="12">
        <v>7</v>
      </c>
      <c r="G20" s="21">
        <f t="shared" si="0"/>
        <v>0.8571428571428571</v>
      </c>
      <c r="H20" s="19"/>
      <c r="I20" s="19"/>
      <c r="J20" s="19"/>
      <c r="K20" s="37"/>
      <c r="L20" s="51">
        <v>8</v>
      </c>
      <c r="M20" s="19"/>
      <c r="N20" s="58"/>
      <c r="O20" s="65">
        <v>0</v>
      </c>
      <c r="P20" s="65">
        <v>0</v>
      </c>
      <c r="Q20" s="65">
        <v>0</v>
      </c>
      <c r="R20" s="65">
        <v>0</v>
      </c>
      <c r="S20" s="59">
        <v>4</v>
      </c>
      <c r="T20" s="68"/>
      <c r="U20" s="58"/>
      <c r="V20" s="19"/>
      <c r="W20" s="22">
        <f t="shared" si="1"/>
        <v>2</v>
      </c>
      <c r="X20" s="22" t="s">
        <v>24</v>
      </c>
      <c r="Y20" s="43"/>
    </row>
    <row r="21" spans="1:25" s="4" customFormat="1" ht="103.5" customHeight="1" x14ac:dyDescent="0.25">
      <c r="A21" s="35">
        <v>18</v>
      </c>
      <c r="B21" s="74" t="s">
        <v>17</v>
      </c>
      <c r="C21" s="70"/>
      <c r="D21" s="17" t="s">
        <v>4</v>
      </c>
      <c r="E21" s="14">
        <v>200</v>
      </c>
      <c r="F21" s="20">
        <v>100</v>
      </c>
      <c r="G21" s="21">
        <f t="shared" si="0"/>
        <v>1</v>
      </c>
      <c r="H21" s="19"/>
      <c r="I21" s="19"/>
      <c r="J21" s="19"/>
      <c r="K21" s="19"/>
      <c r="L21" s="37"/>
      <c r="M21" s="48" t="s">
        <v>37</v>
      </c>
      <c r="N21" s="65">
        <v>0</v>
      </c>
      <c r="O21" s="58"/>
      <c r="P21" s="58"/>
      <c r="Q21" s="52">
        <v>80</v>
      </c>
      <c r="R21" s="59">
        <v>40</v>
      </c>
      <c r="S21" s="59">
        <v>80</v>
      </c>
      <c r="T21" s="58"/>
      <c r="U21" s="19"/>
      <c r="V21" s="19"/>
      <c r="W21" s="22">
        <f t="shared" si="1"/>
        <v>0</v>
      </c>
      <c r="X21" s="22" t="s">
        <v>24</v>
      </c>
      <c r="Y21" s="43" t="s">
        <v>42</v>
      </c>
    </row>
    <row r="22" spans="1:25" ht="31.5" hidden="1" x14ac:dyDescent="0.35">
      <c r="A22" s="1"/>
      <c r="B22" s="1"/>
      <c r="C22" s="1"/>
      <c r="D22" s="1"/>
      <c r="E22" s="1">
        <v>1</v>
      </c>
      <c r="F22" s="1">
        <v>1</v>
      </c>
      <c r="G22" s="21">
        <f t="shared" si="0"/>
        <v>1</v>
      </c>
      <c r="H22" s="1">
        <v>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>
        <f t="shared" si="1"/>
        <v>0</v>
      </c>
      <c r="X22" s="1"/>
    </row>
    <row r="23" spans="1:25" x14ac:dyDescent="0.35">
      <c r="A23" s="1"/>
      <c r="B23" s="1"/>
      <c r="C23" s="1"/>
      <c r="D23" s="1"/>
      <c r="E23" s="1">
        <v>350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</sheetData>
  <mergeCells count="26">
    <mergeCell ref="B21:C21"/>
    <mergeCell ref="B17:C17"/>
    <mergeCell ref="B14:C14"/>
    <mergeCell ref="A1:Y1"/>
    <mergeCell ref="B6:C6"/>
    <mergeCell ref="F2:F3"/>
    <mergeCell ref="G2:G3"/>
    <mergeCell ref="H2:X2"/>
    <mergeCell ref="B4:C4"/>
    <mergeCell ref="B5:C5"/>
    <mergeCell ref="E2:E3"/>
    <mergeCell ref="A2:A3"/>
    <mergeCell ref="B2:C3"/>
    <mergeCell ref="D2:D3"/>
    <mergeCell ref="B12:C12"/>
    <mergeCell ref="B20:C20"/>
    <mergeCell ref="B19:C19"/>
    <mergeCell ref="B7:C7"/>
    <mergeCell ref="B10:C10"/>
    <mergeCell ref="B15:C15"/>
    <mergeCell ref="B18:C18"/>
    <mergeCell ref="B9:C9"/>
    <mergeCell ref="B11:C11"/>
    <mergeCell ref="B13:C13"/>
    <mergeCell ref="B8:C8"/>
    <mergeCell ref="B16:C16"/>
  </mergeCells>
  <phoneticPr fontId="6" type="noConversion"/>
  <conditionalFormatting sqref="G4:G2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{AFDA82DF-5EE6-409A-A27C-38CDE20B35E0}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scale="20" orientation="landscape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DA82DF-5EE6-409A-A27C-38CDE20B35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график</vt:lpstr>
      <vt:lpstr>график!Область_печати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Concept</cp:lastModifiedBy>
  <cp:lastPrinted>2026-02-27T12:45:51Z</cp:lastPrinted>
  <dcterms:created xsi:type="dcterms:W3CDTF">2025-09-03T06:57:06Z</dcterms:created>
  <dcterms:modified xsi:type="dcterms:W3CDTF">2026-07-20T12:36:17Z</dcterms:modified>
</cp:coreProperties>
</file>